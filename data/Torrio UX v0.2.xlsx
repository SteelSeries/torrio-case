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evor.fedele/Library/CloudStorage/Box-Box/R&amp;D - Projects/Audio/TWS/Torrio/UI_UX/"/>
    </mc:Choice>
  </mc:AlternateContent>
  <xr:revisionPtr revIDLastSave="70" documentId="13_ncr:1_{FB8C560D-88C1-6A47-9222-D587823EB7A8}" xr6:coauthVersionLast="47" xr6:coauthVersionMax="47" xr10:uidLastSave="{959AE192-78D3-4403-A51B-E12374AD7C18}"/>
  <bookViews>
    <workbookView xWindow="0" yWindow="500" windowWidth="46080" windowHeight="25420" xr2:uid="{0BC5840E-667D-4E2A-B174-3AEF3A84CD86}"/>
  </bookViews>
  <sheets>
    <sheet name="1 - Torrio UX" sheetId="9" r:id="rId1"/>
    <sheet name="2 - Case UX" sheetId="10" r:id="rId2"/>
    <sheet name="3 - Dongle" sheetId="8" r:id="rId3"/>
    <sheet name="4 - LED Table" sheetId="4" r:id="rId4"/>
    <sheet name="5 - Hold Definitions" sheetId="3" r:id="rId5"/>
    <sheet name="6 - Gesture Assign Options" sheetId="1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7" i="9" l="1"/>
  <c r="A48" i="9"/>
  <c r="A49" i="9"/>
  <c r="A50" i="9"/>
  <c r="A38" i="9"/>
  <c r="A39" i="9"/>
  <c r="A40" i="9"/>
  <c r="A41" i="9"/>
  <c r="A42" i="9"/>
  <c r="A43" i="9"/>
  <c r="A44" i="9"/>
  <c r="A45" i="9"/>
  <c r="A46" i="9"/>
  <c r="A37" i="9"/>
  <c r="A36" i="9"/>
  <c r="A35" i="9"/>
  <c r="A34" i="9"/>
  <c r="A33" i="9"/>
  <c r="A32" i="9"/>
  <c r="A31" i="9"/>
  <c r="A30" i="9"/>
  <c r="A29" i="9"/>
  <c r="A28" i="9"/>
  <c r="A5" i="9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l="1"/>
  <c r="A22" i="9" s="1"/>
  <c r="A23" i="9" s="1"/>
  <c r="A24" i="9" s="1"/>
  <c r="A25" i="9" s="1"/>
  <c r="A2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tc={CD1859AC-E2BE-46E3-940C-6A68FFBD529B}</author>
  </authors>
  <commentList>
    <comment ref="D25" authorId="0" shapeId="0" xr:uid="{CD1859AC-E2BE-46E3-940C-6A68FFBD529B}">
      <text>
        <t>[Threaded comment]
Your version of Excel allows you to read this threaded comment; however, any edits to it will get removed if the file is opened in a newer version of Excel. Learn more: https://go.microsoft.com/fwlink/?linkid=870924
Comment:
    Unless the buds will update the case, I'm don't think this is possible from mobile.</t>
      </text>
    </comment>
  </commentList>
</comments>
</file>

<file path=xl/sharedStrings.xml><?xml version="1.0" encoding="utf-8"?>
<sst xmlns="http://schemas.openxmlformats.org/spreadsheetml/2006/main" count="445" uniqueCount="279">
  <si>
    <t>UX Item</t>
  </si>
  <si>
    <t>State</t>
  </si>
  <si>
    <t>User Interaction</t>
  </si>
  <si>
    <t>Function</t>
  </si>
  <si>
    <t>Case LED</t>
  </si>
  <si>
    <t>Case LED Color</t>
  </si>
  <si>
    <t>Audible Indication</t>
  </si>
  <si>
    <t>Timer</t>
  </si>
  <si>
    <t>In App Control</t>
  </si>
  <si>
    <t>Notes</t>
  </si>
  <si>
    <t>Version History</t>
  </si>
  <si>
    <t>Core Operations</t>
  </si>
  <si>
    <t>Off</t>
  </si>
  <si>
    <t>-</t>
  </si>
  <si>
    <t>Version</t>
  </si>
  <si>
    <t>Date</t>
  </si>
  <si>
    <t>Editor</t>
  </si>
  <si>
    <t>Case plugged into charging source</t>
  </si>
  <si>
    <t>Show case charging status, if full - solid green</t>
  </si>
  <si>
    <t>Breathing</t>
  </si>
  <si>
    <t>Display Battery Level</t>
  </si>
  <si>
    <t>T. Fedele</t>
  </si>
  <si>
    <t>Off - earbuds docked, in case</t>
  </si>
  <si>
    <t>Case Connected to Host Device with power</t>
  </si>
  <si>
    <t>Off - Arrived Still in shipping mode</t>
  </si>
  <si>
    <t>Open Case and remove 1 or 2 earbuds</t>
  </si>
  <si>
    <t>Power in Bluetooth mode -&gt; Enter bluetooth pairing mode.</t>
  </si>
  <si>
    <t>Breath quickly</t>
  </si>
  <si>
    <t>Blue</t>
  </si>
  <si>
    <t>VO_BT_Pairing_Mode_REV3_01.wav</t>
  </si>
  <si>
    <t>Earbuds docked, lid closed</t>
  </si>
  <si>
    <t>Open Lid</t>
  </si>
  <si>
    <t>In-Case LEDs Shows Case Battery Level</t>
  </si>
  <si>
    <t>1 cycle</t>
  </si>
  <si>
    <t>Earbuds docked, lid open</t>
  </si>
  <si>
    <t>Remove 1 or 2 earbuds</t>
  </si>
  <si>
    <t xml:space="preserve">Buds Power On and Connect When Removed. </t>
  </si>
  <si>
    <t>poweron_short.wav</t>
  </si>
  <si>
    <t>Earbuds powered on</t>
  </si>
  <si>
    <t>Play Signal Indication after power on sound (2.4 mode or BT Mode)</t>
  </si>
  <si>
    <t>BT_03_connect_REV3.wav or 24_03_connect_REV5_Option_3.wav</t>
  </si>
  <si>
    <t>Earbuds out of case and off</t>
  </si>
  <si>
    <t>MedHold - Applys to each earbud</t>
  </si>
  <si>
    <t xml:space="preserve">Power On </t>
  </si>
  <si>
    <t>Yes</t>
  </si>
  <si>
    <t>Option to make duration longer</t>
  </si>
  <si>
    <t>Eabuds Powered On</t>
  </si>
  <si>
    <t>Connected to BT Device</t>
  </si>
  <si>
    <t>Play Indicator</t>
  </si>
  <si>
    <t>BT_03_connect_REV3.wav</t>
  </si>
  <si>
    <t>Eabuds Turned On</t>
  </si>
  <si>
    <t>Connected to 2.4 Devices</t>
  </si>
  <si>
    <t>24_03_connect_REV5_Option_3.wav</t>
  </si>
  <si>
    <t>Earbuds Powered On, BT Mode</t>
  </si>
  <si>
    <t>BT Pairing Table Empty</t>
  </si>
  <si>
    <t>Play indicator -&gt; Enter BT Pairing mode</t>
  </si>
  <si>
    <t>60 Sec</t>
  </si>
  <si>
    <t>Earbuds Powered On, BT Connected</t>
  </si>
  <si>
    <t>BT Connection Lost</t>
  </si>
  <si>
    <t>device_disconnect.wav</t>
  </si>
  <si>
    <t>Earbuds Powered On, 2.4 Connected</t>
  </si>
  <si>
    <t>2.4 Connection Lost</t>
  </si>
  <si>
    <t>Earbuds in case and case open</t>
  </si>
  <si>
    <t>Medium hold case button</t>
  </si>
  <si>
    <t>Enter Pairing Mode (Bluetooth first)</t>
  </si>
  <si>
    <t>90sec Timer - If No Pairing (Abort)</t>
  </si>
  <si>
    <t>Earbuds in Pairing Mode</t>
  </si>
  <si>
    <t>User presses case button</t>
  </si>
  <si>
    <t>Toggle Between 2.4 Pairing and BT Pairing</t>
  </si>
  <si>
    <t>After case press - In 2.4G Pairing mode</t>
  </si>
  <si>
    <t>2.4G Pairing Mode</t>
  </si>
  <si>
    <t>Green</t>
  </si>
  <si>
    <t>Earbuds in 2.4 pairing mode</t>
  </si>
  <si>
    <t>Successful pairing with dongle</t>
  </si>
  <si>
    <t>Alert successful pairing -&gt; enter 2.4 audio mode</t>
  </si>
  <si>
    <t xml:space="preserve">2 cycles </t>
  </si>
  <si>
    <t>Earbuds in BT pairing mode</t>
  </si>
  <si>
    <t>Successful BT Pairing</t>
  </si>
  <si>
    <t>Alert successful pairing -&gt; enter BT audio mode</t>
  </si>
  <si>
    <t>2.4ghz Audio Active</t>
  </si>
  <si>
    <t>No Input or activity for 10 min</t>
  </si>
  <si>
    <t>Power Off</t>
  </si>
  <si>
    <t>power_off.wav</t>
  </si>
  <si>
    <t>3 Cycles</t>
  </si>
  <si>
    <t>App Controlable - Time Interval</t>
  </si>
  <si>
    <t>BT Audio Active</t>
  </si>
  <si>
    <t>Earbuds on and active</t>
  </si>
  <si>
    <t>Earbuds return to case/power off initated</t>
  </si>
  <si>
    <t>Illuminate</t>
  </si>
  <si>
    <t>Show Battery Level</t>
  </si>
  <si>
    <t>Earbuds Active and connected to app</t>
  </si>
  <si>
    <t>Update initated from GG PC or Mobile</t>
  </si>
  <si>
    <t>Update earbud and case firmware - See Software PRD for OTA Update</t>
  </si>
  <si>
    <t>Purple</t>
  </si>
  <si>
    <t>Suspend Timers Until Update Complete</t>
  </si>
  <si>
    <t>Earbuds Active, Case Plugged into PC with Dongle In Case</t>
  </si>
  <si>
    <t xml:space="preserve">Dongle connects to PC </t>
  </si>
  <si>
    <t>Earbud Gestures and Controls</t>
  </si>
  <si>
    <t>BT audio route &amp; 2.4 Audio</t>
  </si>
  <si>
    <t>Right or Left Tap x 3</t>
  </si>
  <si>
    <t>Toggle Audio Source (2.4gHz/dongle or BT)</t>
  </si>
  <si>
    <t xml:space="preserve">VO_24_Mode_REV3_12.wav and 
VO_BT_Mode_REV3_05.wav
</t>
  </si>
  <si>
    <t>Yes - Remap</t>
  </si>
  <si>
    <t>Right Tap</t>
  </si>
  <si>
    <t>Play/Pause</t>
  </si>
  <si>
    <t>enter.wav</t>
  </si>
  <si>
    <t>BT or 2.4 Connected - Incoming or Active Call</t>
  </si>
  <si>
    <t>Right Tap and Left Tap</t>
  </si>
  <si>
    <t>Answer Call / Answer Incoming Call</t>
  </si>
  <si>
    <t>call_incoming.wav</t>
  </si>
  <si>
    <t>BT audio route selected: music/game or 2.4 mode</t>
  </si>
  <si>
    <t>Left Tap</t>
  </si>
  <si>
    <t>Noise Control, Noise Cancelation &amp; Off</t>
  </si>
  <si>
    <t>ANC_On_2024.06.24, Hear_Through_On_2024.06.24, Noise Control_Off_2024.06.24</t>
  </si>
  <si>
    <t>Right Tap x 2</t>
  </si>
  <si>
    <t>Next</t>
  </si>
  <si>
    <t>End Call/ Reject Incoming Call</t>
  </si>
  <si>
    <t>call_ignore.wav</t>
  </si>
  <si>
    <t>Left Tap x 2</t>
  </si>
  <si>
    <t>Previous Track</t>
  </si>
  <si>
    <t>BT audio route selected: music/game</t>
  </si>
  <si>
    <t>User removes earbud(s) - Wear Sense</t>
  </si>
  <si>
    <t>Pause</t>
  </si>
  <si>
    <t>Disable from app</t>
  </si>
  <si>
    <t>Use replaces earbud</t>
  </si>
  <si>
    <t>Play</t>
  </si>
  <si>
    <t>Eabuds active and in use</t>
  </si>
  <si>
    <t>Battery in either earbud goes below 25%</t>
  </si>
  <si>
    <t>play alert - in LR earbuds together</t>
  </si>
  <si>
    <t>battery_warning.wav</t>
  </si>
  <si>
    <t>once</t>
  </si>
  <si>
    <t>Battery in either earbud goes below 15%</t>
  </si>
  <si>
    <t>battery_critical.wav</t>
  </si>
  <si>
    <t>Battery in either earbud goes below 5%</t>
  </si>
  <si>
    <t>every 5 min</t>
  </si>
  <si>
    <t>2.4g Audio Route Active</t>
  </si>
  <si>
    <t>Incoming call from connect BT Mobile Device</t>
  </si>
  <si>
    <t>Switch to BT mode and play incoming call alert</t>
  </si>
  <si>
    <t>Set to OFF - Can be enabled in app</t>
  </si>
  <si>
    <t>BT Active Call/Incoming Call From 2.4 Automatic Switch</t>
  </si>
  <si>
    <t>User Ignores Call or Ends Call</t>
  </si>
  <si>
    <t>Return to 2.4 Mode</t>
  </si>
  <si>
    <t>User plugs case into USB-C to charge</t>
  </si>
  <si>
    <t>Case Charges - LED On Case Breathes and follows LED Table</t>
  </si>
  <si>
    <t>Breath</t>
  </si>
  <si>
    <t>User Places Case on Qi Charger</t>
  </si>
  <si>
    <t>Any audio state active</t>
  </si>
  <si>
    <t>Right tap, tap and hold</t>
  </si>
  <si>
    <t>Volume Up by 1 - Repeat if user keeps holding every 500ms</t>
  </si>
  <si>
    <t>vol_max.wav</t>
  </si>
  <si>
    <t>Play Vol_Max_2024.06.24 at Max</t>
  </si>
  <si>
    <t>Left tap, tap and hold</t>
  </si>
  <si>
    <t>Volume Down by 1 - Repeat if user keeps holding every 500ms</t>
  </si>
  <si>
    <t>vol_min.wav</t>
  </si>
  <si>
    <t>Play Vol_Min_2024.06.24 at Max</t>
  </si>
  <si>
    <t>Active and on</t>
  </si>
  <si>
    <t>No BT or 2.4 connection detected</t>
  </si>
  <si>
    <t>Power off after 5 min</t>
  </si>
  <si>
    <t>Active in 2.4 mode</t>
  </si>
  <si>
    <t>No dongle detected, BT Connected</t>
  </si>
  <si>
    <t>Switch to BT mode after 1 min</t>
  </si>
  <si>
    <t>Active in BT mode</t>
  </si>
  <si>
    <t>No BT, 2.4 dongle connected</t>
  </si>
  <si>
    <t>Switch to 2.4 mode after 1 min</t>
  </si>
  <si>
    <t>Incoming BT Call</t>
  </si>
  <si>
    <t>User Accepts Call</t>
  </si>
  <si>
    <t>Mic UnMutes</t>
  </si>
  <si>
    <t>Right or Left Short Hold</t>
  </si>
  <si>
    <t>Mic Mute Toggle</t>
  </si>
  <si>
    <t>Mic Mute = "Mic Mute Applied - 2024.06.24" Mic UnMute = "Mic UnMute_rev4"</t>
  </si>
  <si>
    <t>Power LED</t>
  </si>
  <si>
    <t>Category</t>
  </si>
  <si>
    <t>Earbuds Docked</t>
  </si>
  <si>
    <t>Dock/Remove 2 or 1 Earbud</t>
  </si>
  <si>
    <t>Display Case Battery (LED Table)</t>
  </si>
  <si>
    <t>See LED Table</t>
  </si>
  <si>
    <t>Green/Yellow/Red</t>
  </si>
  <si>
    <t>Case Behavior</t>
  </si>
  <si>
    <t>Earbuds Any State</t>
  </si>
  <si>
    <t>USB Cable Plugged In or Qi Charging For Charging</t>
  </si>
  <si>
    <t>Display Case Charging Battery Levels</t>
  </si>
  <si>
    <t>Earbuds out of case and on</t>
  </si>
  <si>
    <t>Update initated from GG</t>
  </si>
  <si>
    <t>case update/display update</t>
  </si>
  <si>
    <t xml:space="preserve">Blinking </t>
  </si>
  <si>
    <t>Red</t>
  </si>
  <si>
    <t>Earbuds Docked or In Use/Dongle Docked</t>
  </si>
  <si>
    <t>No Action</t>
  </si>
  <si>
    <t>No Case LED Display</t>
  </si>
  <si>
    <t>Case Open without earbuds</t>
  </si>
  <si>
    <t>Close case lid</t>
  </si>
  <si>
    <t>Case close without earbuds</t>
  </si>
  <si>
    <t>open lid</t>
  </si>
  <si>
    <t>Insufficent charging power over wireless</t>
  </si>
  <si>
    <t>Alert Red</t>
  </si>
  <si>
    <t>Item#</t>
  </si>
  <si>
    <t>LED Color</t>
  </si>
  <si>
    <t>LED Behavior</t>
  </si>
  <si>
    <t>Note</t>
  </si>
  <si>
    <t>Dongle not connected to anything</t>
  </si>
  <si>
    <t>User connect dongle to PC/Device</t>
  </si>
  <si>
    <t>Dongle searching for 2.4 ghz connection / no active connection</t>
  </si>
  <si>
    <t>White</t>
  </si>
  <si>
    <t>Solid white while searching</t>
  </si>
  <si>
    <t>Dongle connected to source and earbuds</t>
  </si>
  <si>
    <t>Active connection/audio</t>
  </si>
  <si>
    <t xml:space="preserve">Actively transmitting audio </t>
  </si>
  <si>
    <t>Solid White at connection</t>
  </si>
  <si>
    <t>No headset connected</t>
  </si>
  <si>
    <t>Dongle connected to source</t>
  </si>
  <si>
    <t>Press and med hold button</t>
  </si>
  <si>
    <t>Dongle enter pairing mode</t>
  </si>
  <si>
    <t>Pulsate quickly while paring</t>
  </si>
  <si>
    <t>Abort after 60 sec</t>
  </si>
  <si>
    <t>Dongle in pairing mode</t>
  </si>
  <si>
    <t>User Sucessfully pairs earbuds</t>
  </si>
  <si>
    <t>Dongle pairing success</t>
  </si>
  <si>
    <t>HOLD</t>
  </si>
  <si>
    <t>Hold for 3000ms then go white</t>
  </si>
  <si>
    <t>Global LED behaviors</t>
  </si>
  <si>
    <t>Ramp Up (0% to 100%)</t>
  </si>
  <si>
    <t>Ramp Down (100% to 0%)</t>
  </si>
  <si>
    <t>Hold (LED On &amp; Off)</t>
  </si>
  <si>
    <t>Cycle</t>
  </si>
  <si>
    <t>Hold</t>
  </si>
  <si>
    <t>200ms</t>
  </si>
  <si>
    <t>400ms</t>
  </si>
  <si>
    <t>1000ms</t>
  </si>
  <si>
    <t>2000ms</t>
  </si>
  <si>
    <t>Breathing quickly</t>
  </si>
  <si>
    <t>750ms</t>
  </si>
  <si>
    <t>500ms</t>
  </si>
  <si>
    <t>1500ms</t>
  </si>
  <si>
    <t>4000ms total</t>
  </si>
  <si>
    <t>Alert</t>
  </si>
  <si>
    <t>100ms</t>
  </si>
  <si>
    <t>External LED - Case Battery Levels</t>
  </si>
  <si>
    <t>Device</t>
  </si>
  <si>
    <t>Battery Level</t>
  </si>
  <si>
    <t>Audible Behavior</t>
  </si>
  <si>
    <t>Case Full Charge</t>
  </si>
  <si>
    <t>Case</t>
  </si>
  <si>
    <t>100%-66%</t>
  </si>
  <si>
    <t>Green Illuminate</t>
  </si>
  <si>
    <t>Case Medium Charge</t>
  </si>
  <si>
    <t>65%-26%</t>
  </si>
  <si>
    <t>Yellow Illuminate</t>
  </si>
  <si>
    <t>Case Low Charge</t>
  </si>
  <si>
    <t>25%-10%</t>
  </si>
  <si>
    <t>Red Illuminate</t>
  </si>
  <si>
    <t>Case Critical Charge</t>
  </si>
  <si>
    <t>9%-0%</t>
  </si>
  <si>
    <t>Red Breathing Quickly</t>
  </si>
  <si>
    <t>External - Case Battery Charging Levels</t>
  </si>
  <si>
    <t xml:space="preserve"> </t>
  </si>
  <si>
    <t>Case Charging Status</t>
  </si>
  <si>
    <t>Solid Green</t>
  </si>
  <si>
    <t>99%-66%</t>
  </si>
  <si>
    <t>Green Breathing</t>
  </si>
  <si>
    <t xml:space="preserve">Yellow Breathing </t>
  </si>
  <si>
    <t>&lt;25%</t>
  </si>
  <si>
    <t>Duration</t>
  </si>
  <si>
    <t>Tap</t>
  </si>
  <si>
    <t>&lt;500 MS</t>
  </si>
  <si>
    <t xml:space="preserve">Short Hold </t>
  </si>
  <si>
    <t xml:space="preserve">1000ms </t>
  </si>
  <si>
    <t>Med Hold</t>
  </si>
  <si>
    <t>3000ms</t>
  </si>
  <si>
    <t>Long Hold</t>
  </si>
  <si>
    <t>5000ms</t>
  </si>
  <si>
    <t>Assignable Gesture List</t>
  </si>
  <si>
    <t>Assignable in app and GG to Right or Left Tap
and Right or Left Tap x 2</t>
  </si>
  <si>
    <t>Volume Up</t>
  </si>
  <si>
    <t>Volume Down</t>
  </si>
  <si>
    <t>Mute/Unmute Mic</t>
  </si>
  <si>
    <t>Next Track</t>
  </si>
  <si>
    <t>Mobile Voice Assistant</t>
  </si>
  <si>
    <t>Cycle Noise Control</t>
  </si>
  <si>
    <t>Toggle Audio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</si>
</sst>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8"/>
        <bgColor theme="8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7">
    <xf numFmtId="0" fontId="0" fillId="0" borderId="0" xfId="0"/>
    <xf numFmtId="0" fontId="1" fillId="3" borderId="1" xfId="0" applyFont="1" applyFill="1" applyBorder="1"/>
    <xf numFmtId="0" fontId="0" fillId="4" borderId="0" xfId="0" applyFill="1"/>
    <xf numFmtId="0" fontId="2" fillId="2" borderId="0" xfId="1" applyAlignment="1">
      <alignment vertical="center"/>
    </xf>
    <xf numFmtId="0" fontId="0" fillId="0" borderId="0" xfId="0" applyAlignment="1">
      <alignment vertical="center"/>
    </xf>
    <xf numFmtId="0" fontId="1" fillId="2" borderId="2" xfId="1" applyFont="1" applyBorder="1" applyAlignment="1">
      <alignment vertical="center"/>
    </xf>
    <xf numFmtId="0" fontId="1" fillId="2" borderId="4" xfId="1" applyFont="1" applyBorder="1" applyAlignment="1">
      <alignment vertical="center"/>
    </xf>
    <xf numFmtId="0" fontId="1" fillId="2" borderId="3" xfId="1" applyFont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5" borderId="4" xfId="0" applyFill="1" applyBorder="1" applyAlignment="1">
      <alignment vertical="center" wrapText="1"/>
    </xf>
    <xf numFmtId="9" fontId="0" fillId="0" borderId="0" xfId="0" quotePrefix="1" applyNumberFormat="1" applyAlignment="1">
      <alignment vertical="center"/>
    </xf>
    <xf numFmtId="9" fontId="0" fillId="0" borderId="0" xfId="0" applyNumberForma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5" borderId="2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5" borderId="4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0" fillId="7" borderId="5" xfId="0" applyFill="1" applyBorder="1" applyAlignment="1">
      <alignment vertical="center"/>
    </xf>
    <xf numFmtId="0" fontId="0" fillId="7" borderId="6" xfId="0" applyFill="1" applyBorder="1" applyAlignment="1">
      <alignment vertical="center"/>
    </xf>
    <xf numFmtId="0" fontId="0" fillId="7" borderId="6" xfId="0" applyFill="1" applyBorder="1" applyAlignment="1">
      <alignment vertical="center" wrapText="1"/>
    </xf>
    <xf numFmtId="0" fontId="0" fillId="7" borderId="7" xfId="0" applyFill="1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8" borderId="0" xfId="0" applyFont="1" applyFill="1"/>
    <xf numFmtId="2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5" borderId="3" xfId="0" applyFill="1" applyBorder="1"/>
    <xf numFmtId="0" fontId="6" fillId="3" borderId="5" xfId="0" applyFont="1" applyFill="1" applyBorder="1"/>
    <xf numFmtId="9" fontId="3" fillId="0" borderId="0" xfId="0" applyNumberFormat="1" applyFont="1"/>
    <xf numFmtId="16" fontId="0" fillId="0" borderId="0" xfId="0" applyNumberFormat="1"/>
    <xf numFmtId="0" fontId="2" fillId="2" borderId="3" xfId="1" applyBorder="1" applyAlignment="1">
      <alignment vertical="center"/>
    </xf>
    <xf numFmtId="0" fontId="5" fillId="9" borderId="0" xfId="0" applyFont="1" applyFill="1"/>
    <xf numFmtId="0" fontId="4" fillId="0" borderId="0" xfId="0" applyFont="1"/>
    <xf numFmtId="0" fontId="0" fillId="4" borderId="0" xfId="0" applyFill="1" applyAlignment="1">
      <alignment wrapText="1"/>
    </xf>
    <xf numFmtId="0" fontId="0" fillId="10" borderId="3" xfId="0" applyFill="1" applyBorder="1"/>
  </cellXfs>
  <cellStyles count="2">
    <cellStyle name="Accent5" xfId="1" builtinId="45"/>
    <cellStyle name="Normal" xfId="0" builtinId="0"/>
  </cellStyles>
  <dxfs count="16"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1" defaultTableStyle="TableStyleMedium25" defaultPivotStyle="PivotStyleLight16">
    <tableStyle name="Table Style 1" pivot="0" count="0" xr9:uid="{D780C3CB-D9FD-4EE3-89F3-E89D24C5804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orey A Peoples" id="{10296450-ACB5-4F1C-9249-BFF969093592}" userId="" providerId="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44B227-8A3E-4D8B-923E-148487F31E39}" name="Table9" displayName="Table9" ref="A2:J51" totalsRowShown="0">
  <autoFilter ref="A2:J51" xr:uid="{93D8679D-F5DF-4247-A39E-B41A45E26D88}"/>
  <tableColumns count="10">
    <tableColumn id="1" xr3:uid="{2A375AB0-B029-4BC6-99DA-B6099971EFEB}" name="UX Item"/>
    <tableColumn id="2" xr3:uid="{9F4E85E7-FC3C-46D2-8763-FC73F34923C0}" name="State"/>
    <tableColumn id="3" xr3:uid="{BAF5D3EB-346E-46FA-A748-9D28888DB6FC}" name="User Interaction"/>
    <tableColumn id="4" xr3:uid="{C5C8F98E-E2B5-47AF-AC9E-664A25C2A907}" name="Function"/>
    <tableColumn id="7" xr3:uid="{840BBA61-81C3-4FFE-A977-FB439741D3C9}" name="Case LED"/>
    <tableColumn id="8" xr3:uid="{BFD1F976-F723-4470-8346-1AA883153065}" name="Case LED Color"/>
    <tableColumn id="9" xr3:uid="{40558385-F614-43F8-B3A4-C03D7A2F4879}" name="Audible Indication"/>
    <tableColumn id="10" xr3:uid="{107F00FE-A139-4E03-B4A9-B601C2C8987C}" name="Timer"/>
    <tableColumn id="11" xr3:uid="{ED4ADDC5-9314-44D6-ABE3-3C0AFCA686A6}" name="In App Control"/>
    <tableColumn id="12" xr3:uid="{C9A7AF96-BB3B-493B-ADCA-EB5AB45370DA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A3A3CD-8093-4246-B457-C5EABC883AB3}" name="Table1" displayName="Table1" ref="A2:I29" totalsRowShown="0">
  <autoFilter ref="A2:I29" xr:uid="{CEA3A3CD-8093-4246-B457-C5EABC883AB3}"/>
  <tableColumns count="9">
    <tableColumn id="1" xr3:uid="{DBBF16A0-0307-45D9-BAC4-2BFF15285DBB}" name="UX Item"/>
    <tableColumn id="2" xr3:uid="{FC895CF1-0666-4793-BCCA-F53C18462E9A}" name="State"/>
    <tableColumn id="3" xr3:uid="{B6AF5AEB-EB4F-47E7-8A38-C377A8EF7AA6}" name="User Interaction"/>
    <tableColumn id="4" xr3:uid="{DDBB43CF-9BFF-4487-96C6-44340B567AA7}" name="Function"/>
    <tableColumn id="5" xr3:uid="{6F42404E-7B5E-42CC-AD3E-32A4F45F7392}" name="Power LED"/>
    <tableColumn id="6" xr3:uid="{F4B22CFF-12D3-4A1C-8FAC-760ED0C0C141}" name="Case LED Color"/>
    <tableColumn id="7" xr3:uid="{DC948CF4-AC51-4C12-B5B8-10A8711E342B}" name="Timer"/>
    <tableColumn id="8" xr3:uid="{407117A9-8285-47FD-9378-78956049A743}" name="Category"/>
    <tableColumn id="9" xr3:uid="{F8862739-85E7-4417-95AE-081DA1CABF8E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70387F5-C524-4098-9AF8-5B0864D8054B}" name="Table11" displayName="Table11" ref="B1:G7" totalsRowShown="0" headerRowDxfId="15" dataDxfId="14">
  <autoFilter ref="B1:G7" xr:uid="{670387F5-C524-4098-9AF8-5B0864D8054B}"/>
  <tableColumns count="6">
    <tableColumn id="1" xr3:uid="{82716E4B-9D95-4EEA-9774-43686FC908B8}" name="State" dataDxfId="13"/>
    <tableColumn id="2" xr3:uid="{DC64197E-93BA-478B-B3B1-6306E9B5B987}" name="User Interaction" dataDxfId="12"/>
    <tableColumn id="3" xr3:uid="{99211060-BEA8-4E6C-852D-07C866884BF1}" name="Function" dataDxfId="11"/>
    <tableColumn id="5" xr3:uid="{72F5E65D-2B8B-4448-A39B-E376DC69D4C7}" name="LED Color" dataDxfId="10"/>
    <tableColumn id="4" xr3:uid="{45F999AC-D131-4B29-9A17-7701A4BE7EBC}" name="LED Behavior" dataDxfId="9"/>
    <tableColumn id="6" xr3:uid="{0158F76E-0277-4BC7-8BE3-05DAC7DB049D}" name="Note" dataDxfId="8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1E4FF7-3107-4F8A-BF3D-53B8F80A103E}" name="Table35" displayName="Table35" ref="B1:G6" totalsRowShown="0" headerRowDxfId="7" dataDxfId="6" headerRowCellStyle="Accent5">
  <autoFilter ref="B1:G6" xr:uid="{841E4FF7-3107-4F8A-BF3D-53B8F80A103E}"/>
  <tableColumns count="6">
    <tableColumn id="1" xr3:uid="{5EABED60-17BD-4E3F-A5FC-690EF624AF1B}" name="Global LED behaviors" dataDxfId="5"/>
    <tableColumn id="2" xr3:uid="{28D0B339-88B9-42F1-9353-E9C35D466371}" name="Ramp Up (0% to 100%)" dataDxfId="4"/>
    <tableColumn id="3" xr3:uid="{83FAC26C-65FA-40BE-8B89-0380CE1BE6D9}" name="Ramp Down (100% to 0%)" dataDxfId="3"/>
    <tableColumn id="4" xr3:uid="{CB796D6F-102C-450C-BB4C-7D1C53467435}" name="Hold (LED On &amp; Off)" dataDxfId="2"/>
    <tableColumn id="5" xr3:uid="{9A5CA979-718E-4759-9D81-2122C264924B}" name="Cycle" dataDxfId="1"/>
    <tableColumn id="6" xr3:uid="{85583A11-67EE-4E6E-907A-182F6B8F37B5}" name="No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5" dT="2024-04-16T23:31:59.00" personId="{10296450-ACB5-4F1C-9249-BFF969093592}" id="{CD1859AC-E2BE-46E3-940C-6A68FFBD529B}">
    <text>Unless the buds will update the case, I'm don't think this is possible from mobile.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AAB4-B53C-4AFE-9DA7-412FA5C46165}">
  <dimension ref="A2:N50"/>
  <sheetViews>
    <sheetView tabSelected="1" topLeftCell="G1" zoomScale="141" workbookViewId="0">
      <selection activeCell="A55" sqref="A55"/>
    </sheetView>
  </sheetViews>
  <sheetFormatPr defaultColWidth="8.85546875" defaultRowHeight="15"/>
  <cols>
    <col min="1" max="1" width="9.7109375" bestFit="1" customWidth="1"/>
    <col min="2" max="2" width="51.42578125" customWidth="1"/>
    <col min="3" max="3" width="52.42578125" customWidth="1"/>
    <col min="4" max="4" width="57" bestFit="1" customWidth="1"/>
    <col min="5" max="5" width="12" bestFit="1" customWidth="1"/>
    <col min="6" max="6" width="17.140625" bestFit="1" customWidth="1"/>
    <col min="7" max="7" width="36.42578125" customWidth="1"/>
    <col min="8" max="8" width="30" customWidth="1"/>
    <col min="9" max="9" width="11" customWidth="1"/>
    <col min="10" max="10" width="38" customWidth="1"/>
    <col min="12" max="12" width="13.42578125" customWidth="1"/>
    <col min="13" max="13" width="11.42578125" bestFit="1" customWidth="1"/>
    <col min="14" max="14" width="8.28515625" bestFit="1" customWidth="1"/>
  </cols>
  <sheetData>
    <row r="2" spans="1:1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s="34" t="s">
        <v>10</v>
      </c>
      <c r="M2" s="34"/>
      <c r="N2" s="34"/>
    </row>
    <row r="3" spans="1:14">
      <c r="A3" s="44" t="s">
        <v>11</v>
      </c>
      <c r="L3" s="34"/>
      <c r="M3" s="34"/>
      <c r="N3" s="34"/>
    </row>
    <row r="4" spans="1:14">
      <c r="A4">
        <v>1</v>
      </c>
      <c r="B4" t="s">
        <v>12</v>
      </c>
      <c r="C4" t="s">
        <v>13</v>
      </c>
      <c r="E4" t="s">
        <v>13</v>
      </c>
      <c r="F4" t="s">
        <v>13</v>
      </c>
      <c r="G4" t="s">
        <v>13</v>
      </c>
      <c r="H4" t="s">
        <v>13</v>
      </c>
      <c r="L4" s="34" t="s">
        <v>14</v>
      </c>
      <c r="M4" s="34" t="s">
        <v>15</v>
      </c>
      <c r="N4" s="34" t="s">
        <v>16</v>
      </c>
    </row>
    <row r="5" spans="1:14">
      <c r="A5">
        <f>A4+1</f>
        <v>2</v>
      </c>
      <c r="B5" t="s">
        <v>12</v>
      </c>
      <c r="C5" t="s">
        <v>17</v>
      </c>
      <c r="D5" t="s">
        <v>18</v>
      </c>
      <c r="E5" t="s">
        <v>19</v>
      </c>
      <c r="F5" t="s">
        <v>20</v>
      </c>
      <c r="L5" s="35">
        <v>0.1</v>
      </c>
      <c r="M5" s="36">
        <v>45915</v>
      </c>
      <c r="N5" t="s">
        <v>21</v>
      </c>
    </row>
    <row r="6" spans="1:14">
      <c r="A6">
        <f t="shared" ref="A6:A24" si="0">A5+1</f>
        <v>3</v>
      </c>
      <c r="B6" t="s">
        <v>22</v>
      </c>
      <c r="C6" t="s">
        <v>23</v>
      </c>
      <c r="D6" t="s">
        <v>18</v>
      </c>
      <c r="E6" t="s">
        <v>19</v>
      </c>
      <c r="F6" t="s">
        <v>20</v>
      </c>
      <c r="L6" s="35">
        <v>0.2</v>
      </c>
      <c r="M6" s="36">
        <v>45930</v>
      </c>
      <c r="N6" t="s">
        <v>21</v>
      </c>
    </row>
    <row r="7" spans="1:14">
      <c r="A7">
        <f t="shared" si="0"/>
        <v>4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L7" s="35"/>
      <c r="M7" s="36"/>
    </row>
    <row r="8" spans="1:14">
      <c r="A8">
        <f t="shared" si="0"/>
        <v>5</v>
      </c>
      <c r="B8" t="s">
        <v>30</v>
      </c>
      <c r="C8" t="s">
        <v>31</v>
      </c>
      <c r="D8" t="s">
        <v>32</v>
      </c>
      <c r="G8" t="s">
        <v>13</v>
      </c>
      <c r="H8" t="s">
        <v>33</v>
      </c>
      <c r="L8" s="35"/>
      <c r="M8" s="36"/>
    </row>
    <row r="9" spans="1:14">
      <c r="A9">
        <f t="shared" si="0"/>
        <v>6</v>
      </c>
      <c r="B9" t="s">
        <v>34</v>
      </c>
      <c r="C9" t="s">
        <v>35</v>
      </c>
      <c r="D9" t="s">
        <v>36</v>
      </c>
      <c r="E9" t="s">
        <v>13</v>
      </c>
      <c r="F9" t="s">
        <v>13</v>
      </c>
      <c r="G9" t="s">
        <v>37</v>
      </c>
      <c r="L9" s="35"/>
      <c r="M9" s="36"/>
    </row>
    <row r="10" spans="1:14">
      <c r="A10">
        <f t="shared" si="0"/>
        <v>7</v>
      </c>
      <c r="B10" t="s">
        <v>38</v>
      </c>
      <c r="C10" t="s">
        <v>13</v>
      </c>
      <c r="D10" t="s">
        <v>39</v>
      </c>
      <c r="G10" t="s">
        <v>40</v>
      </c>
      <c r="L10" s="35"/>
      <c r="M10" s="41"/>
    </row>
    <row r="11" spans="1:14">
      <c r="A11">
        <f t="shared" si="0"/>
        <v>8</v>
      </c>
      <c r="B11" t="s">
        <v>41</v>
      </c>
      <c r="C11" t="s">
        <v>42</v>
      </c>
      <c r="D11" t="s">
        <v>43</v>
      </c>
      <c r="E11" t="s">
        <v>13</v>
      </c>
      <c r="F11" t="s">
        <v>13</v>
      </c>
      <c r="G11" t="s">
        <v>37</v>
      </c>
      <c r="H11" t="s">
        <v>33</v>
      </c>
      <c r="I11" t="s">
        <v>44</v>
      </c>
      <c r="J11" t="s">
        <v>45</v>
      </c>
      <c r="L11" s="35"/>
      <c r="M11" s="36"/>
    </row>
    <row r="12" spans="1:14">
      <c r="A12">
        <f t="shared" si="0"/>
        <v>9</v>
      </c>
      <c r="B12" t="s">
        <v>46</v>
      </c>
      <c r="C12" t="s">
        <v>47</v>
      </c>
      <c r="D12" t="s">
        <v>48</v>
      </c>
      <c r="G12" t="s">
        <v>49</v>
      </c>
      <c r="L12" s="35"/>
      <c r="M12" s="41"/>
    </row>
    <row r="13" spans="1:14">
      <c r="A13">
        <f t="shared" si="0"/>
        <v>10</v>
      </c>
      <c r="B13" t="s">
        <v>50</v>
      </c>
      <c r="C13" t="s">
        <v>51</v>
      </c>
      <c r="D13" t="s">
        <v>48</v>
      </c>
      <c r="G13" t="s">
        <v>52</v>
      </c>
      <c r="L13" s="35"/>
    </row>
    <row r="14" spans="1:14">
      <c r="A14">
        <f t="shared" si="0"/>
        <v>11</v>
      </c>
      <c r="B14" t="s">
        <v>53</v>
      </c>
      <c r="C14" t="s">
        <v>54</v>
      </c>
      <c r="D14" t="s">
        <v>55</v>
      </c>
      <c r="E14" t="s">
        <v>13</v>
      </c>
      <c r="F14" t="s">
        <v>13</v>
      </c>
      <c r="G14" t="s">
        <v>29</v>
      </c>
      <c r="H14" t="s">
        <v>56</v>
      </c>
      <c r="L14" s="35"/>
    </row>
    <row r="15" spans="1:14">
      <c r="A15">
        <f t="shared" si="0"/>
        <v>12</v>
      </c>
      <c r="B15" t="s">
        <v>57</v>
      </c>
      <c r="C15" t="s">
        <v>58</v>
      </c>
      <c r="D15" t="s">
        <v>48</v>
      </c>
      <c r="G15" t="s">
        <v>59</v>
      </c>
      <c r="L15" s="35"/>
    </row>
    <row r="16" spans="1:14">
      <c r="A16">
        <f t="shared" si="0"/>
        <v>13</v>
      </c>
      <c r="B16" t="s">
        <v>60</v>
      </c>
      <c r="C16" t="s">
        <v>61</v>
      </c>
      <c r="D16" t="s">
        <v>48</v>
      </c>
      <c r="G16" t="s">
        <v>59</v>
      </c>
      <c r="L16" s="35"/>
    </row>
    <row r="17" spans="1:12">
      <c r="A17">
        <f t="shared" si="0"/>
        <v>14</v>
      </c>
      <c r="B17" t="s">
        <v>62</v>
      </c>
      <c r="C17" t="s">
        <v>63</v>
      </c>
      <c r="D17" t="s">
        <v>64</v>
      </c>
      <c r="E17" t="s">
        <v>19</v>
      </c>
      <c r="F17" t="s">
        <v>28</v>
      </c>
      <c r="G17" t="s">
        <v>29</v>
      </c>
      <c r="H17" t="s">
        <v>65</v>
      </c>
      <c r="L17" s="35"/>
    </row>
    <row r="18" spans="1:12">
      <c r="A18">
        <f>A17+1</f>
        <v>15</v>
      </c>
      <c r="B18" t="s">
        <v>66</v>
      </c>
      <c r="C18" t="s">
        <v>67</v>
      </c>
      <c r="D18" t="s">
        <v>68</v>
      </c>
      <c r="L18" s="35"/>
    </row>
    <row r="19" spans="1:12">
      <c r="A19">
        <f>A18+1</f>
        <v>16</v>
      </c>
      <c r="B19" t="s">
        <v>66</v>
      </c>
      <c r="C19" t="s">
        <v>69</v>
      </c>
      <c r="D19" t="s">
        <v>70</v>
      </c>
      <c r="E19" t="s">
        <v>19</v>
      </c>
      <c r="F19" t="s">
        <v>71</v>
      </c>
      <c r="H19" t="s">
        <v>65</v>
      </c>
      <c r="L19" s="35"/>
    </row>
    <row r="20" spans="1:12">
      <c r="A20">
        <f>A19+1</f>
        <v>17</v>
      </c>
      <c r="B20" t="s">
        <v>72</v>
      </c>
      <c r="C20" t="s">
        <v>73</v>
      </c>
      <c r="D20" t="s">
        <v>74</v>
      </c>
      <c r="E20" t="s">
        <v>27</v>
      </c>
      <c r="F20" t="s">
        <v>71</v>
      </c>
      <c r="G20" t="s">
        <v>52</v>
      </c>
      <c r="H20" t="s">
        <v>75</v>
      </c>
      <c r="L20" s="35"/>
    </row>
    <row r="21" spans="1:12">
      <c r="A21">
        <f t="shared" si="0"/>
        <v>18</v>
      </c>
      <c r="B21" t="s">
        <v>76</v>
      </c>
      <c r="C21" t="s">
        <v>77</v>
      </c>
      <c r="D21" t="s">
        <v>78</v>
      </c>
      <c r="E21" t="s">
        <v>27</v>
      </c>
      <c r="F21" t="s">
        <v>28</v>
      </c>
      <c r="G21" t="s">
        <v>49</v>
      </c>
      <c r="H21" t="s">
        <v>75</v>
      </c>
      <c r="L21" s="35"/>
    </row>
    <row r="22" spans="1:12">
      <c r="A22">
        <f t="shared" si="0"/>
        <v>19</v>
      </c>
      <c r="B22" t="s">
        <v>79</v>
      </c>
      <c r="C22" t="s">
        <v>80</v>
      </c>
      <c r="D22" t="s">
        <v>81</v>
      </c>
      <c r="E22" t="s">
        <v>13</v>
      </c>
      <c r="F22" t="s">
        <v>13</v>
      </c>
      <c r="G22" t="s">
        <v>82</v>
      </c>
      <c r="H22" t="s">
        <v>83</v>
      </c>
      <c r="I22" t="s">
        <v>44</v>
      </c>
      <c r="J22" s="46" t="s">
        <v>84</v>
      </c>
      <c r="L22" s="35"/>
    </row>
    <row r="23" spans="1:12">
      <c r="A23">
        <f t="shared" si="0"/>
        <v>20</v>
      </c>
      <c r="B23" t="s">
        <v>85</v>
      </c>
      <c r="C23" t="s">
        <v>80</v>
      </c>
      <c r="D23" t="s">
        <v>81</v>
      </c>
      <c r="E23" t="s">
        <v>13</v>
      </c>
      <c r="F23" t="s">
        <v>13</v>
      </c>
      <c r="G23" t="s">
        <v>82</v>
      </c>
      <c r="H23" t="s">
        <v>83</v>
      </c>
      <c r="I23" t="s">
        <v>44</v>
      </c>
      <c r="J23" s="38" t="s">
        <v>84</v>
      </c>
      <c r="L23" s="35"/>
    </row>
    <row r="24" spans="1:12">
      <c r="A24">
        <f t="shared" si="0"/>
        <v>21</v>
      </c>
      <c r="B24" t="s">
        <v>86</v>
      </c>
      <c r="C24" t="s">
        <v>87</v>
      </c>
      <c r="D24" t="s">
        <v>81</v>
      </c>
      <c r="E24" t="s">
        <v>88</v>
      </c>
      <c r="F24" t="s">
        <v>89</v>
      </c>
      <c r="G24" t="s">
        <v>82</v>
      </c>
      <c r="H24" t="s">
        <v>83</v>
      </c>
      <c r="L24" s="35"/>
    </row>
    <row r="25" spans="1:12">
      <c r="A25">
        <f>A24+1</f>
        <v>22</v>
      </c>
      <c r="B25" t="s">
        <v>90</v>
      </c>
      <c r="C25" t="s">
        <v>91</v>
      </c>
      <c r="D25" t="s">
        <v>92</v>
      </c>
      <c r="E25" t="s">
        <v>27</v>
      </c>
      <c r="F25" t="s">
        <v>93</v>
      </c>
      <c r="H25" t="s">
        <v>94</v>
      </c>
      <c r="L25" s="35"/>
    </row>
    <row r="26" spans="1:12">
      <c r="A26">
        <f>A25+1</f>
        <v>23</v>
      </c>
      <c r="B26" t="s">
        <v>95</v>
      </c>
      <c r="C26" t="s">
        <v>13</v>
      </c>
      <c r="D26" t="s">
        <v>96</v>
      </c>
      <c r="L26" s="35"/>
    </row>
    <row r="27" spans="1:12">
      <c r="A27" s="44" t="s">
        <v>97</v>
      </c>
      <c r="L27" s="35"/>
    </row>
    <row r="28" spans="1:12" ht="32.25" customHeight="1">
      <c r="A28">
        <f>A26+1</f>
        <v>24</v>
      </c>
      <c r="B28" t="s">
        <v>98</v>
      </c>
      <c r="C28" t="s">
        <v>99</v>
      </c>
      <c r="D28" t="s">
        <v>100</v>
      </c>
      <c r="G28" s="37" t="s">
        <v>101</v>
      </c>
      <c r="I28" t="s">
        <v>102</v>
      </c>
      <c r="L28" s="35"/>
    </row>
    <row r="29" spans="1:12">
      <c r="A29">
        <f>A28+1</f>
        <v>25</v>
      </c>
      <c r="B29" t="s">
        <v>98</v>
      </c>
      <c r="C29" t="s">
        <v>103</v>
      </c>
      <c r="D29" t="s">
        <v>104</v>
      </c>
      <c r="G29" s="37" t="s">
        <v>105</v>
      </c>
      <c r="I29" t="s">
        <v>102</v>
      </c>
      <c r="L29" s="35"/>
    </row>
    <row r="30" spans="1:12">
      <c r="A30">
        <f>A29+1</f>
        <v>26</v>
      </c>
      <c r="B30" t="s">
        <v>106</v>
      </c>
      <c r="C30" t="s">
        <v>107</v>
      </c>
      <c r="D30" t="s">
        <v>108</v>
      </c>
      <c r="G30" t="s">
        <v>109</v>
      </c>
      <c r="I30" t="s">
        <v>44</v>
      </c>
      <c r="L30" s="35"/>
    </row>
    <row r="31" spans="1:12" ht="45.75">
      <c r="A31">
        <f>A30+1</f>
        <v>27</v>
      </c>
      <c r="B31" t="s">
        <v>110</v>
      </c>
      <c r="C31" t="s">
        <v>111</v>
      </c>
      <c r="D31" t="s">
        <v>112</v>
      </c>
      <c r="G31" s="37" t="s">
        <v>113</v>
      </c>
      <c r="I31" t="s">
        <v>102</v>
      </c>
      <c r="L31" s="35"/>
    </row>
    <row r="32" spans="1:12">
      <c r="A32">
        <f>A31+1</f>
        <v>28</v>
      </c>
      <c r="B32" t="s">
        <v>98</v>
      </c>
      <c r="C32" t="s">
        <v>114</v>
      </c>
      <c r="D32" t="s">
        <v>115</v>
      </c>
      <c r="G32" t="s">
        <v>105</v>
      </c>
      <c r="I32" t="s">
        <v>44</v>
      </c>
      <c r="L32" s="35"/>
    </row>
    <row r="33" spans="1:12">
      <c r="A33">
        <f>A32+1</f>
        <v>29</v>
      </c>
      <c r="B33" t="s">
        <v>106</v>
      </c>
      <c r="C33" t="s">
        <v>114</v>
      </c>
      <c r="D33" t="s">
        <v>116</v>
      </c>
      <c r="G33" t="s">
        <v>117</v>
      </c>
      <c r="I33" t="s">
        <v>44</v>
      </c>
      <c r="L33" s="35"/>
    </row>
    <row r="34" spans="1:12">
      <c r="A34">
        <f>A33+1</f>
        <v>30</v>
      </c>
      <c r="B34" t="s">
        <v>98</v>
      </c>
      <c r="C34" t="s">
        <v>118</v>
      </c>
      <c r="D34" t="s">
        <v>119</v>
      </c>
      <c r="I34" t="s">
        <v>44</v>
      </c>
      <c r="L34" s="35"/>
    </row>
    <row r="35" spans="1:12">
      <c r="A35">
        <f>A34+1</f>
        <v>31</v>
      </c>
      <c r="B35" t="s">
        <v>120</v>
      </c>
      <c r="C35" t="s">
        <v>121</v>
      </c>
      <c r="D35" t="s">
        <v>122</v>
      </c>
      <c r="G35" t="s">
        <v>105</v>
      </c>
      <c r="I35" t="s">
        <v>44</v>
      </c>
      <c r="J35" t="s">
        <v>123</v>
      </c>
      <c r="L35" s="35"/>
    </row>
    <row r="36" spans="1:12">
      <c r="A36">
        <f>A35+1</f>
        <v>32</v>
      </c>
      <c r="B36" t="s">
        <v>120</v>
      </c>
      <c r="C36" t="s">
        <v>124</v>
      </c>
      <c r="D36" t="s">
        <v>125</v>
      </c>
      <c r="G36" t="s">
        <v>105</v>
      </c>
      <c r="I36" t="s">
        <v>44</v>
      </c>
      <c r="J36" t="s">
        <v>123</v>
      </c>
      <c r="L36" s="35"/>
    </row>
    <row r="37" spans="1:12">
      <c r="A37">
        <f>A36+1</f>
        <v>33</v>
      </c>
      <c r="B37" t="s">
        <v>126</v>
      </c>
      <c r="C37" t="s">
        <v>127</v>
      </c>
      <c r="D37" t="s">
        <v>128</v>
      </c>
      <c r="G37" t="s">
        <v>129</v>
      </c>
      <c r="J37" t="s">
        <v>130</v>
      </c>
    </row>
    <row r="38" spans="1:12">
      <c r="A38">
        <f t="shared" ref="A38:A51" si="1">A37+1</f>
        <v>34</v>
      </c>
      <c r="B38" t="s">
        <v>126</v>
      </c>
      <c r="C38" t="s">
        <v>131</v>
      </c>
      <c r="D38" t="s">
        <v>128</v>
      </c>
      <c r="G38" t="s">
        <v>132</v>
      </c>
      <c r="J38" t="s">
        <v>130</v>
      </c>
    </row>
    <row r="39" spans="1:12">
      <c r="A39">
        <f t="shared" si="1"/>
        <v>35</v>
      </c>
      <c r="B39" t="s">
        <v>126</v>
      </c>
      <c r="C39" t="s">
        <v>133</v>
      </c>
      <c r="D39" t="s">
        <v>128</v>
      </c>
      <c r="G39" t="s">
        <v>132</v>
      </c>
      <c r="J39" t="s">
        <v>134</v>
      </c>
    </row>
    <row r="40" spans="1:12">
      <c r="A40">
        <f t="shared" si="1"/>
        <v>36</v>
      </c>
      <c r="B40" t="s">
        <v>135</v>
      </c>
      <c r="C40" t="s">
        <v>136</v>
      </c>
      <c r="D40" t="s">
        <v>137</v>
      </c>
      <c r="E40" t="s">
        <v>13</v>
      </c>
      <c r="F40" t="s">
        <v>13</v>
      </c>
      <c r="I40" t="s">
        <v>44</v>
      </c>
      <c r="J40" t="s">
        <v>138</v>
      </c>
    </row>
    <row r="41" spans="1:12">
      <c r="A41">
        <f t="shared" si="1"/>
        <v>37</v>
      </c>
      <c r="B41" t="s">
        <v>139</v>
      </c>
      <c r="C41" t="s">
        <v>140</v>
      </c>
      <c r="D41" t="s">
        <v>141</v>
      </c>
      <c r="E41" t="s">
        <v>13</v>
      </c>
      <c r="F41" t="s">
        <v>13</v>
      </c>
      <c r="I41" t="s">
        <v>44</v>
      </c>
      <c r="J41" t="s">
        <v>138</v>
      </c>
    </row>
    <row r="42" spans="1:12">
      <c r="A42">
        <f t="shared" si="1"/>
        <v>38</v>
      </c>
      <c r="B42" t="s">
        <v>12</v>
      </c>
      <c r="C42" t="s">
        <v>142</v>
      </c>
      <c r="D42" t="s">
        <v>143</v>
      </c>
      <c r="E42" t="s">
        <v>144</v>
      </c>
      <c r="F42" t="s">
        <v>20</v>
      </c>
    </row>
    <row r="43" spans="1:12">
      <c r="A43">
        <f t="shared" si="1"/>
        <v>39</v>
      </c>
      <c r="B43" t="s">
        <v>12</v>
      </c>
      <c r="C43" t="s">
        <v>145</v>
      </c>
      <c r="D43" t="s">
        <v>143</v>
      </c>
      <c r="E43" t="s">
        <v>144</v>
      </c>
      <c r="F43" t="s">
        <v>20</v>
      </c>
    </row>
    <row r="44" spans="1:12">
      <c r="A44">
        <f t="shared" si="1"/>
        <v>40</v>
      </c>
      <c r="B44" t="s">
        <v>146</v>
      </c>
      <c r="C44" t="s">
        <v>147</v>
      </c>
      <c r="D44" t="s">
        <v>148</v>
      </c>
      <c r="G44" t="s">
        <v>149</v>
      </c>
      <c r="J44" t="s">
        <v>150</v>
      </c>
    </row>
    <row r="45" spans="1:12">
      <c r="A45">
        <f t="shared" si="1"/>
        <v>41</v>
      </c>
      <c r="B45" t="s">
        <v>146</v>
      </c>
      <c r="C45" t="s">
        <v>151</v>
      </c>
      <c r="D45" t="s">
        <v>152</v>
      </c>
      <c r="G45" t="s">
        <v>153</v>
      </c>
      <c r="J45" t="s">
        <v>154</v>
      </c>
    </row>
    <row r="46" spans="1:12">
      <c r="A46">
        <f t="shared" si="1"/>
        <v>42</v>
      </c>
      <c r="B46" t="s">
        <v>155</v>
      </c>
      <c r="C46" t="s">
        <v>156</v>
      </c>
      <c r="D46" t="s">
        <v>157</v>
      </c>
    </row>
    <row r="47" spans="1:12">
      <c r="A47">
        <f>A46+1</f>
        <v>43</v>
      </c>
      <c r="B47" t="s">
        <v>158</v>
      </c>
      <c r="C47" t="s">
        <v>159</v>
      </c>
      <c r="D47" t="s">
        <v>160</v>
      </c>
    </row>
    <row r="48" spans="1:12">
      <c r="A48">
        <f t="shared" si="1"/>
        <v>44</v>
      </c>
      <c r="B48" t="s">
        <v>161</v>
      </c>
      <c r="C48" t="s">
        <v>162</v>
      </c>
      <c r="D48" t="s">
        <v>163</v>
      </c>
    </row>
    <row r="49" spans="1:7">
      <c r="A49">
        <f t="shared" si="1"/>
        <v>45</v>
      </c>
      <c r="B49" t="s">
        <v>164</v>
      </c>
      <c r="C49" t="s">
        <v>165</v>
      </c>
      <c r="D49" t="s">
        <v>166</v>
      </c>
    </row>
    <row r="50" spans="1:7">
      <c r="A50">
        <f t="shared" si="1"/>
        <v>46</v>
      </c>
      <c r="B50" t="s">
        <v>85</v>
      </c>
      <c r="C50" t="s">
        <v>167</v>
      </c>
      <c r="D50" t="s">
        <v>168</v>
      </c>
      <c r="G50" t="s">
        <v>169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AF69-2B25-45B2-9396-95CB9FE1CAC8}">
  <dimension ref="A2:I9"/>
  <sheetViews>
    <sheetView workbookViewId="0">
      <selection activeCell="B6" sqref="B6"/>
    </sheetView>
  </sheetViews>
  <sheetFormatPr defaultColWidth="8.85546875" defaultRowHeight="15"/>
  <cols>
    <col min="1" max="1" width="9.28515625" customWidth="1"/>
    <col min="2" max="2" width="36" bestFit="1" customWidth="1"/>
    <col min="3" max="3" width="42.140625" bestFit="1" customWidth="1"/>
    <col min="4" max="4" width="31.28515625" bestFit="1" customWidth="1"/>
    <col min="5" max="5" width="12.42578125" bestFit="1" customWidth="1"/>
    <col min="6" max="6" width="16.28515625" bestFit="1" customWidth="1"/>
    <col min="7" max="7" width="7.42578125" customWidth="1"/>
    <col min="8" max="8" width="12.42578125" bestFit="1" customWidth="1"/>
  </cols>
  <sheetData>
    <row r="2" spans="1:9">
      <c r="A2" t="s">
        <v>0</v>
      </c>
      <c r="B2" t="s">
        <v>1</v>
      </c>
      <c r="C2" t="s">
        <v>2</v>
      </c>
      <c r="D2" t="s">
        <v>3</v>
      </c>
      <c r="E2" t="s">
        <v>170</v>
      </c>
      <c r="F2" t="s">
        <v>5</v>
      </c>
      <c r="G2" t="s">
        <v>7</v>
      </c>
      <c r="H2" t="s">
        <v>171</v>
      </c>
      <c r="I2" t="s">
        <v>9</v>
      </c>
    </row>
    <row r="3" spans="1:9">
      <c r="A3">
        <v>54</v>
      </c>
      <c r="B3" t="s">
        <v>172</v>
      </c>
      <c r="C3" t="s">
        <v>173</v>
      </c>
      <c r="D3" t="s">
        <v>174</v>
      </c>
      <c r="E3" t="s">
        <v>175</v>
      </c>
      <c r="F3" t="s">
        <v>176</v>
      </c>
      <c r="G3" t="s">
        <v>13</v>
      </c>
      <c r="H3" t="s">
        <v>177</v>
      </c>
    </row>
    <row r="4" spans="1:9">
      <c r="A4">
        <v>55</v>
      </c>
      <c r="B4" t="s">
        <v>178</v>
      </c>
      <c r="C4" t="s">
        <v>179</v>
      </c>
      <c r="D4" t="s">
        <v>180</v>
      </c>
      <c r="E4" t="s">
        <v>175</v>
      </c>
      <c r="F4" t="s">
        <v>176</v>
      </c>
      <c r="G4" t="s">
        <v>13</v>
      </c>
      <c r="H4" t="s">
        <v>177</v>
      </c>
    </row>
    <row r="5" spans="1:9">
      <c r="A5">
        <v>56</v>
      </c>
      <c r="B5" t="s">
        <v>181</v>
      </c>
      <c r="C5" t="s">
        <v>182</v>
      </c>
      <c r="D5" t="s">
        <v>183</v>
      </c>
      <c r="E5" t="s">
        <v>184</v>
      </c>
      <c r="F5" t="s">
        <v>185</v>
      </c>
      <c r="G5" t="s">
        <v>13</v>
      </c>
      <c r="H5" t="s">
        <v>177</v>
      </c>
    </row>
    <row r="6" spans="1:9">
      <c r="A6">
        <v>57</v>
      </c>
      <c r="B6" t="s">
        <v>186</v>
      </c>
      <c r="C6" t="s">
        <v>187</v>
      </c>
      <c r="D6" t="s">
        <v>188</v>
      </c>
      <c r="E6" t="s">
        <v>13</v>
      </c>
      <c r="F6" t="s">
        <v>13</v>
      </c>
      <c r="G6" t="s">
        <v>13</v>
      </c>
      <c r="H6" t="s">
        <v>177</v>
      </c>
    </row>
    <row r="7" spans="1:9">
      <c r="A7">
        <v>59</v>
      </c>
      <c r="B7" t="s">
        <v>189</v>
      </c>
      <c r="C7" t="s">
        <v>190</v>
      </c>
      <c r="D7" t="s">
        <v>174</v>
      </c>
      <c r="E7" t="s">
        <v>175</v>
      </c>
      <c r="F7" t="s">
        <v>176</v>
      </c>
      <c r="G7" t="s">
        <v>13</v>
      </c>
      <c r="H7" t="s">
        <v>177</v>
      </c>
    </row>
    <row r="8" spans="1:9">
      <c r="A8">
        <v>60</v>
      </c>
      <c r="B8" t="s">
        <v>191</v>
      </c>
      <c r="C8" t="s">
        <v>192</v>
      </c>
      <c r="D8" t="s">
        <v>174</v>
      </c>
      <c r="E8" t="s">
        <v>175</v>
      </c>
      <c r="F8" t="s">
        <v>176</v>
      </c>
      <c r="G8" t="s">
        <v>13</v>
      </c>
      <c r="H8" t="s">
        <v>177</v>
      </c>
    </row>
    <row r="9" spans="1:9" s="43" customFormat="1">
      <c r="A9" s="43">
        <v>58</v>
      </c>
      <c r="B9" s="43" t="s">
        <v>193</v>
      </c>
      <c r="D9" s="43" t="s">
        <v>194</v>
      </c>
      <c r="E9" s="43" t="s">
        <v>185</v>
      </c>
      <c r="G9" s="43" t="s">
        <v>13</v>
      </c>
      <c r="H9" s="43" t="s">
        <v>177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BEA6-A30B-44DD-A0D6-AB2A5F201CBF}">
  <dimension ref="A1:G7"/>
  <sheetViews>
    <sheetView zoomScale="130" zoomScaleNormal="130" workbookViewId="0">
      <selection activeCell="E8" sqref="E8"/>
    </sheetView>
  </sheetViews>
  <sheetFormatPr defaultColWidth="8.85546875" defaultRowHeight="15"/>
  <cols>
    <col min="1" max="1" width="5.7109375" bestFit="1" customWidth="1"/>
    <col min="2" max="2" width="37.42578125" bestFit="1" customWidth="1"/>
    <col min="3" max="3" width="31.42578125" bestFit="1" customWidth="1"/>
    <col min="4" max="4" width="56.42578125" bestFit="1" customWidth="1"/>
    <col min="5" max="5" width="44.140625" customWidth="1"/>
    <col min="6" max="6" width="32.42578125" customWidth="1"/>
    <col min="7" max="7" width="66.42578125" customWidth="1"/>
  </cols>
  <sheetData>
    <row r="1" spans="1:7">
      <c r="A1" s="39" t="s">
        <v>195</v>
      </c>
      <c r="B1" s="16" t="s">
        <v>1</v>
      </c>
      <c r="C1" s="16" t="s">
        <v>2</v>
      </c>
      <c r="D1" s="16" t="s">
        <v>3</v>
      </c>
      <c r="E1" s="16" t="s">
        <v>196</v>
      </c>
      <c r="F1" s="16" t="s">
        <v>197</v>
      </c>
      <c r="G1" s="16" t="s">
        <v>198</v>
      </c>
    </row>
    <row r="2" spans="1:7">
      <c r="A2" s="26">
        <v>80</v>
      </c>
      <c r="B2" s="4" t="s">
        <v>199</v>
      </c>
      <c r="C2" s="4" t="s">
        <v>13</v>
      </c>
      <c r="D2" s="4" t="s">
        <v>12</v>
      </c>
      <c r="E2" s="4" t="s">
        <v>12</v>
      </c>
      <c r="F2" s="14" t="s">
        <v>13</v>
      </c>
      <c r="G2" s="14"/>
    </row>
    <row r="3" spans="1:7" ht="15.95">
      <c r="A3" s="30">
        <v>81</v>
      </c>
      <c r="B3" s="4" t="s">
        <v>199</v>
      </c>
      <c r="C3" s="4" t="s">
        <v>200</v>
      </c>
      <c r="D3" s="4" t="s">
        <v>201</v>
      </c>
      <c r="E3" s="4" t="s">
        <v>202</v>
      </c>
      <c r="F3" s="15">
        <v>0.5</v>
      </c>
      <c r="G3" s="15" t="s">
        <v>203</v>
      </c>
    </row>
    <row r="4" spans="1:7" ht="15.95">
      <c r="A4" s="26">
        <v>82</v>
      </c>
      <c r="B4" s="4" t="s">
        <v>204</v>
      </c>
      <c r="C4" s="4" t="s">
        <v>205</v>
      </c>
      <c r="D4" s="4" t="s">
        <v>206</v>
      </c>
      <c r="E4" s="4" t="s">
        <v>202</v>
      </c>
      <c r="F4" s="15">
        <v>1</v>
      </c>
      <c r="G4" s="15" t="s">
        <v>207</v>
      </c>
    </row>
    <row r="5" spans="1:7">
      <c r="A5" s="30">
        <v>83</v>
      </c>
      <c r="B5" s="4" t="s">
        <v>204</v>
      </c>
      <c r="C5" s="4" t="s">
        <v>208</v>
      </c>
      <c r="D5" s="4"/>
      <c r="E5" s="4"/>
      <c r="F5" s="4"/>
      <c r="G5" s="4"/>
    </row>
    <row r="6" spans="1:7" ht="15.95">
      <c r="A6" s="26">
        <v>84</v>
      </c>
      <c r="B6" s="26" t="s">
        <v>209</v>
      </c>
      <c r="C6" s="27" t="s">
        <v>210</v>
      </c>
      <c r="D6" s="27" t="s">
        <v>211</v>
      </c>
      <c r="E6" s="27" t="s">
        <v>202</v>
      </c>
      <c r="F6" s="28" t="s">
        <v>212</v>
      </c>
      <c r="G6" s="29" t="s">
        <v>213</v>
      </c>
    </row>
    <row r="7" spans="1:7" ht="15.95">
      <c r="A7" s="30">
        <v>85</v>
      </c>
      <c r="B7" s="30" t="s">
        <v>214</v>
      </c>
      <c r="C7" s="31" t="s">
        <v>215</v>
      </c>
      <c r="D7" s="31" t="s">
        <v>216</v>
      </c>
      <c r="E7" s="31" t="s">
        <v>202</v>
      </c>
      <c r="F7" s="32" t="s">
        <v>217</v>
      </c>
      <c r="G7" s="33" t="s">
        <v>218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97EA-E5EC-4831-8AF6-309EF45CC317}">
  <dimension ref="A1:G18"/>
  <sheetViews>
    <sheetView zoomScale="130" zoomScaleNormal="130" workbookViewId="0">
      <selection activeCell="A20" sqref="A20:XFD24"/>
    </sheetView>
  </sheetViews>
  <sheetFormatPr defaultColWidth="8.85546875" defaultRowHeight="15"/>
  <cols>
    <col min="1" max="1" width="5.7109375" bestFit="1" customWidth="1"/>
    <col min="2" max="2" width="43.42578125" bestFit="1" customWidth="1"/>
    <col min="3" max="3" width="24.140625" bestFit="1" customWidth="1"/>
    <col min="4" max="4" width="26.85546875" bestFit="1" customWidth="1"/>
    <col min="5" max="5" width="21.42578125" customWidth="1"/>
    <col min="6" max="6" width="16.5703125" bestFit="1" customWidth="1"/>
    <col min="7" max="7" width="18.85546875" bestFit="1" customWidth="1"/>
    <col min="8" max="8" width="8.7109375" bestFit="1" customWidth="1"/>
  </cols>
  <sheetData>
    <row r="1" spans="1:7">
      <c r="A1" s="5" t="s">
        <v>195</v>
      </c>
      <c r="B1" s="3" t="s">
        <v>219</v>
      </c>
      <c r="C1" s="3" t="s">
        <v>220</v>
      </c>
      <c r="D1" s="3" t="s">
        <v>221</v>
      </c>
      <c r="E1" s="3" t="s">
        <v>222</v>
      </c>
      <c r="F1" s="3" t="s">
        <v>223</v>
      </c>
      <c r="G1" s="42" t="s">
        <v>198</v>
      </c>
    </row>
    <row r="2" spans="1:7">
      <c r="A2" s="19">
        <v>100</v>
      </c>
      <c r="B2" s="17" t="s">
        <v>224</v>
      </c>
      <c r="C2" s="17" t="s">
        <v>225</v>
      </c>
      <c r="D2" s="4" t="s">
        <v>226</v>
      </c>
      <c r="E2" s="4" t="s">
        <v>227</v>
      </c>
      <c r="F2" s="4">
        <v>1</v>
      </c>
      <c r="G2" s="10"/>
    </row>
    <row r="3" spans="1:7">
      <c r="A3" s="21">
        <v>101</v>
      </c>
      <c r="B3" s="17" t="s">
        <v>88</v>
      </c>
      <c r="C3" s="17" t="s">
        <v>225</v>
      </c>
      <c r="D3" s="4" t="s">
        <v>226</v>
      </c>
      <c r="E3" s="4" t="s">
        <v>228</v>
      </c>
      <c r="F3" s="4">
        <v>1</v>
      </c>
      <c r="G3" s="12"/>
    </row>
    <row r="4" spans="1:7" ht="15.95">
      <c r="A4" s="19">
        <v>102</v>
      </c>
      <c r="B4" s="17" t="s">
        <v>229</v>
      </c>
      <c r="C4" s="18" t="s">
        <v>230</v>
      </c>
      <c r="D4" s="4" t="s">
        <v>230</v>
      </c>
      <c r="E4" s="4" t="s">
        <v>231</v>
      </c>
      <c r="F4" s="4">
        <v>1</v>
      </c>
      <c r="G4" s="10"/>
    </row>
    <row r="5" spans="1:7" ht="15.95">
      <c r="A5" s="21">
        <v>103</v>
      </c>
      <c r="B5" s="17" t="s">
        <v>19</v>
      </c>
      <c r="C5" s="18" t="s">
        <v>232</v>
      </c>
      <c r="D5" s="4" t="s">
        <v>232</v>
      </c>
      <c r="E5" s="4" t="s">
        <v>227</v>
      </c>
      <c r="F5" s="4">
        <v>1</v>
      </c>
      <c r="G5" s="12" t="s">
        <v>233</v>
      </c>
    </row>
    <row r="6" spans="1:7" ht="15.95">
      <c r="A6" s="19">
        <v>104</v>
      </c>
      <c r="B6" s="17" t="s">
        <v>234</v>
      </c>
      <c r="C6" s="18" t="s">
        <v>235</v>
      </c>
      <c r="D6" s="4" t="s">
        <v>225</v>
      </c>
      <c r="E6" s="4" t="s">
        <v>225</v>
      </c>
      <c r="F6" s="4"/>
      <c r="G6" s="10"/>
    </row>
    <row r="8" spans="1:7">
      <c r="A8" s="5"/>
      <c r="B8" s="5" t="s">
        <v>236</v>
      </c>
      <c r="C8" s="6" t="s">
        <v>237</v>
      </c>
      <c r="D8" s="6" t="s">
        <v>238</v>
      </c>
      <c r="E8" s="6" t="s">
        <v>197</v>
      </c>
      <c r="F8" s="7" t="s">
        <v>239</v>
      </c>
    </row>
    <row r="9" spans="1:7">
      <c r="A9" s="19">
        <v>109</v>
      </c>
      <c r="B9" s="19" t="s">
        <v>240</v>
      </c>
      <c r="C9" s="20" t="s">
        <v>241</v>
      </c>
      <c r="D9" s="20" t="s">
        <v>242</v>
      </c>
      <c r="E9" s="9" t="s">
        <v>243</v>
      </c>
      <c r="F9" s="10"/>
    </row>
    <row r="10" spans="1:7">
      <c r="A10" s="21">
        <v>110</v>
      </c>
      <c r="B10" s="21" t="s">
        <v>244</v>
      </c>
      <c r="C10" s="22" t="s">
        <v>241</v>
      </c>
      <c r="D10" s="22" t="s">
        <v>245</v>
      </c>
      <c r="E10" s="11" t="s">
        <v>246</v>
      </c>
      <c r="F10" s="12"/>
    </row>
    <row r="11" spans="1:7">
      <c r="A11" s="21">
        <v>116</v>
      </c>
      <c r="B11" s="21" t="s">
        <v>247</v>
      </c>
      <c r="C11" s="22" t="s">
        <v>241</v>
      </c>
      <c r="D11" s="22" t="s">
        <v>248</v>
      </c>
      <c r="E11" s="11" t="s">
        <v>249</v>
      </c>
      <c r="F11" s="12"/>
    </row>
    <row r="12" spans="1:7" ht="15.95">
      <c r="A12" s="19">
        <v>111</v>
      </c>
      <c r="B12" s="19" t="s">
        <v>250</v>
      </c>
      <c r="C12" s="23" t="s">
        <v>241</v>
      </c>
      <c r="D12" s="20" t="s">
        <v>251</v>
      </c>
      <c r="E12" s="9" t="s">
        <v>252</v>
      </c>
      <c r="F12" s="10"/>
    </row>
    <row r="14" spans="1:7">
      <c r="A14" s="5"/>
      <c r="B14" s="5" t="s">
        <v>253</v>
      </c>
      <c r="C14" s="6" t="s">
        <v>237</v>
      </c>
      <c r="D14" s="6" t="s">
        <v>254</v>
      </c>
      <c r="E14" s="6" t="s">
        <v>197</v>
      </c>
      <c r="F14" s="7" t="s">
        <v>239</v>
      </c>
    </row>
    <row r="15" spans="1:7">
      <c r="A15" s="24">
        <v>112</v>
      </c>
      <c r="B15" s="24" t="s">
        <v>255</v>
      </c>
      <c r="C15" s="25" t="s">
        <v>241</v>
      </c>
      <c r="D15" s="40">
        <v>1</v>
      </c>
      <c r="E15" s="16" t="s">
        <v>256</v>
      </c>
    </row>
    <row r="16" spans="1:7">
      <c r="A16" s="19">
        <v>113</v>
      </c>
      <c r="B16" s="19" t="s">
        <v>255</v>
      </c>
      <c r="C16" s="20" t="s">
        <v>241</v>
      </c>
      <c r="D16" s="20" t="s">
        <v>257</v>
      </c>
      <c r="E16" s="20" t="s">
        <v>258</v>
      </c>
      <c r="F16" s="10"/>
    </row>
    <row r="17" spans="1:6">
      <c r="A17" s="21">
        <v>114</v>
      </c>
      <c r="B17" s="21" t="s">
        <v>255</v>
      </c>
      <c r="C17" s="22" t="s">
        <v>241</v>
      </c>
      <c r="D17" s="22" t="s">
        <v>245</v>
      </c>
      <c r="E17" s="22" t="s">
        <v>259</v>
      </c>
      <c r="F17" s="12"/>
    </row>
    <row r="18" spans="1:6" ht="15.95">
      <c r="A18" s="8">
        <v>115</v>
      </c>
      <c r="B18" s="8" t="s">
        <v>255</v>
      </c>
      <c r="C18" s="13" t="s">
        <v>241</v>
      </c>
      <c r="D18" s="9" t="s">
        <v>260</v>
      </c>
      <c r="E18" s="9" t="s">
        <v>252</v>
      </c>
      <c r="F18" s="10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A3F73-31CD-4976-BC9D-5280D469FA43}">
  <dimension ref="A1:C6"/>
  <sheetViews>
    <sheetView zoomScale="210" zoomScaleNormal="210" workbookViewId="0">
      <selection activeCell="G19" sqref="G19"/>
    </sheetView>
  </sheetViews>
  <sheetFormatPr defaultColWidth="8.85546875" defaultRowHeight="15"/>
  <cols>
    <col min="1" max="1" width="15.42578125" bestFit="1" customWidth="1"/>
    <col min="2" max="2" width="8.42578125" bestFit="1" customWidth="1"/>
    <col min="3" max="3" width="14.85546875" customWidth="1"/>
  </cols>
  <sheetData>
    <row r="1" spans="1:3" ht="15.95" thickBot="1"/>
    <row r="2" spans="1:3" ht="15.95" thickBot="1">
      <c r="A2" s="1" t="s">
        <v>2</v>
      </c>
      <c r="B2" s="1" t="s">
        <v>261</v>
      </c>
      <c r="C2" s="1" t="s">
        <v>198</v>
      </c>
    </row>
    <row r="3" spans="1:3">
      <c r="A3" s="2" t="s">
        <v>262</v>
      </c>
      <c r="B3" s="2" t="s">
        <v>263</v>
      </c>
      <c r="C3" s="2"/>
    </row>
    <row r="4" spans="1:3">
      <c r="A4" t="s">
        <v>264</v>
      </c>
      <c r="B4" t="s">
        <v>265</v>
      </c>
    </row>
    <row r="5" spans="1:3">
      <c r="A5" t="s">
        <v>266</v>
      </c>
      <c r="B5" t="s">
        <v>267</v>
      </c>
    </row>
    <row r="6" spans="1:3">
      <c r="A6" t="s">
        <v>268</v>
      </c>
      <c r="B6" t="s">
        <v>269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BE980-EBF3-4743-A7E7-752C845911F0}">
  <dimension ref="A1:C12"/>
  <sheetViews>
    <sheetView zoomScale="210" zoomScaleNormal="210" workbookViewId="0">
      <selection activeCell="A4" sqref="A4:A12"/>
    </sheetView>
  </sheetViews>
  <sheetFormatPr defaultColWidth="8.85546875" defaultRowHeight="15"/>
  <cols>
    <col min="1" max="1" width="20.140625" bestFit="1" customWidth="1"/>
    <col min="2" max="2" width="8.42578125" bestFit="1" customWidth="1"/>
    <col min="3" max="3" width="14.85546875" customWidth="1"/>
  </cols>
  <sheetData>
    <row r="1" spans="1:3" ht="15.95" thickBot="1"/>
    <row r="2" spans="1:3" ht="15.95" thickBot="1">
      <c r="A2" s="1" t="s">
        <v>270</v>
      </c>
      <c r="B2" s="1"/>
      <c r="C2" s="1"/>
    </row>
    <row r="3" spans="1:3" ht="48">
      <c r="A3" s="45" t="s">
        <v>271</v>
      </c>
      <c r="B3" s="2"/>
      <c r="C3" s="2"/>
    </row>
    <row r="4" spans="1:3">
      <c r="A4" t="s">
        <v>104</v>
      </c>
    </row>
    <row r="5" spans="1:3">
      <c r="A5" t="s">
        <v>272</v>
      </c>
    </row>
    <row r="6" spans="1:3">
      <c r="A6" t="s">
        <v>273</v>
      </c>
    </row>
    <row r="7" spans="1:3">
      <c r="A7" t="s">
        <v>274</v>
      </c>
    </row>
    <row r="8" spans="1:3">
      <c r="A8" t="s">
        <v>275</v>
      </c>
    </row>
    <row r="9" spans="1:3">
      <c r="A9" t="s">
        <v>119</v>
      </c>
    </row>
    <row r="10" spans="1:3">
      <c r="A10" t="s">
        <v>276</v>
      </c>
    </row>
    <row r="11" spans="1:3">
      <c r="A11" t="s">
        <v>277</v>
      </c>
    </row>
    <row r="12" spans="1:3">
      <c r="A12" t="s">
        <v>278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d4ee908-87eb-451b-9140-0136682aa6d4}" enabled="1" method="Standard" siteId="{5007a010-2aef-460a-a493-5d61927182b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Trevor Fedele</dc:creator>
  <cp:keywords/>
  <dc:description/>
  <cp:lastModifiedBy>Trevor Fedele</cp:lastModifiedBy>
  <cp:revision/>
  <dcterms:created xsi:type="dcterms:W3CDTF">2022-10-28T17:30:26Z</dcterms:created>
  <dcterms:modified xsi:type="dcterms:W3CDTF">2025-10-01T03:42:24Z</dcterms:modified>
  <cp:category/>
  <cp:contentStatus/>
</cp:coreProperties>
</file>